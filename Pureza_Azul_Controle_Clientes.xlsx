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47ca4b14a47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71287b011ca47cd"/>
    <x:sheet xmlns:r="http://schemas.openxmlformats.org/officeDocument/2006/relationships" name="Clientes" sheetId="2" r:id="R2f52d99b2e20463d"/>
    <x:sheet xmlns:r="http://schemas.openxmlformats.org/officeDocument/2006/relationships" name="Config" sheetId="3" r:id="R3c7cf9f80e9e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m/yyyy"/>
    <x:numFmt numFmtId="201" formatCode="R$ #,##0.00"/>
    <x:numFmt numFmtId="202" formatCode="dd/mm/yyyy"/>
    <x:numFmt numFmtId="203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334455"/>
      <x:name val="Carlito"/>
    </x:font>
    <x:font>
      <x:b/>
      <x:sz val="18"/>
      <x:color rgb="FFFFFFFF"/>
      <x:name val="Carlito"/>
    </x:font>
    <x:font>
      <x:b/>
      <x:sz val="12"/>
      <x:color rgb="FF163A5F"/>
      <x:name val="Carlito"/>
    </x:font>
    <x:font>
      <x:b/>
      <x:sz val="14"/>
      <x:color rgb="FF163A5F"/>
      <x:name val="Carlito"/>
    </x:font>
    <x:font>
      <x:b/>
      <x:sz val="17"/>
      <x:color rgb="FF163A5F"/>
      <x:name val="Carlito"/>
    </x:font>
    <x:font>
      <x:b/>
      <x:sz val="10"/>
      <x:color rgb="FFFFFFFF"/>
      <x:name val="Carlito"/>
    </x:font>
    <x:font>
      <x:b/>
      <x:sz val="11"/>
      <x:color rgb="FFB42318"/>
      <x:name val="Carlito"/>
    </x:font>
    <x:font>
      <x:b/>
      <x:sz val="18"/>
      <x:color rgb="FFB4231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F6690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  <x:fill>
      <x:patternFill patternType="solid">
        <x:fgColor rgb="FFFDE2E2"/>
      </x:patternFill>
    </x:fill>
    <x:fill>
      <x:patternFill patternType="solid">
        <x:fgColor rgb="FFFFF6F6"/>
      </x:patternFill>
    </x:fill>
  </x:fills>
  <x:borders count="2">
    <x:border/>
    <x:border/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202" fontId="0" fillId="5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202" fontId="0" fillId="5" borderId="1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201" fontId="7" fillId="7" borderId="0" xfId="0" applyNumberFormat="1" applyFont="1" applyFill="1" applyBorder="1" applyAlignment="1">
      <x:alignment horizontal="center" vertical="center" wrapText="1"/>
    </x:xf>
    <x:xf numFmtId="201" fontId="7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horizontal="center"/>
    </x:xf>
    <x:xf numFmtId="0" fontId="10" fillId="9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146C43"/>
      </x:font>
      <x:fill>
        <x:patternFill patternType="solid">
          <x:bgColor rgb="FFD9F2E6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8A6116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b8f8eb1f040d8" /><Relationship Type="http://schemas.openxmlformats.org/officeDocument/2006/relationships/theme" Target="/xl/theme/theme1.xml" Id="R1e5f5d210c264cf4" /><Relationship Type="http://schemas.openxmlformats.org/officeDocument/2006/relationships/sharedStrings" Target="/xl/sharedStrings.xml" Id="Rbe3733e7611247ca" /><Relationship Type="http://schemas.openxmlformats.org/officeDocument/2006/relationships/worksheet" Target="/xl/worksheets/sheet1.xml" Id="Rd71287b011ca47cd" /><Relationship Type="http://schemas.openxmlformats.org/officeDocument/2006/relationships/worksheet" Target="/xl/worksheets/sheet2.xml" Id="R2f52d99b2e20463d" /><Relationship Type="http://schemas.openxmlformats.org/officeDocument/2006/relationships/worksheet" Target="/xl/worksheets/sheet3.xml" Id="R3c7cf9f80e9e40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c2740cace0432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Previsto</c:v>
          </c:tx>
          <c:cat>
            <c:strRef>
              <c:f>'Dashboard'!$A$15:$A$21</c:f>
              <c:strCache>
                <c:ptCount val="0"/>
              </c:strCache>
            </c:strRef>
          </c:cat>
          <c:val>
            <c:numRef>
              <c:f>'Dashboard'!$C$15:$C$21</c:f>
              <c:numCache>
                <c:formatCode>R$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13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c2740cace043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ientesTable" displayName="ClientesTable" ref="A6:L45" headerRowCount="1" totalsRowCount="0" totalsRowShown="0">
  <x:tableColumns count="12">
    <x:tableColumn id="1" name="Código"/>
    <x:tableColumn id="2" name="Cliente"/>
    <x:tableColumn id="3" name="Dia pgto"/>
    <x:tableColumn id="4" name="Valor piscina"/>
    <x:tableColumn id="5" name="Vencimento"/>
    <x:tableColumn id="6" name="Recebido?"/>
    <x:tableColumn id="7" name="Data pagamento"/>
    <x:tableColumn id="8" name="Status"/>
    <x:tableColumn id="9" name="Dias atraso"/>
    <x:tableColumn id="10" name="Valor em aberto"/>
    <x:tableColumn id="11" name="Observações"/>
    <x:tableColumn id="12" name="Ti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9bd1761b3d47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77987fd71b4f7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7" t="str">
        <x:v>PUREZA AZUL • PAINEL FINANCEIRO DE RECEBIMENTOS</x:v>
      </x:c>
    </x:row>
    <x:row r="2">
      <x:c r="A2" s="73" t="str">
        <x:v>Mês de referência</x:v>
      </x:c>
      <x:c r="B2" s="73"/>
      <x:c r="C2" s="73"/>
      <x:c r="D2" s="80" t="str">
        <x:f>TEXT(Config!$B$4,"mmmm/yyyy")</x:f>
        <x:v>September/2026</x:v>
      </x:c>
      <x:c r="E2" s="80"/>
      <x:c r="F2" s="80"/>
    </x:row>
    <x:row r="3">
      <x:c r="A3" s="73"/>
      <x:c r="B3" s="73"/>
      <x:c r="C3" s="73"/>
      <x:c r="D3" s="80"/>
      <x:c r="E3" s="80"/>
      <x:c r="F3" s="80"/>
    </x:row>
    <x:row r="4">
      <x:c r="A4" s="97" t="str">
        <x:v>CLIENTES</x:v>
      </x:c>
      <x:c r="B4" s="97"/>
      <x:c r="C4" s="97"/>
      <x:c r="D4" s="97" t="str">
        <x:v>FATURAMENTO PREVISTO</x:v>
      </x:c>
      <x:c r="E4" s="97"/>
      <x:c r="F4" s="97"/>
      <x:c r="G4" s="97" t="str">
        <x:v>RECEBIDO</x:v>
      </x:c>
      <x:c r="H4" s="97"/>
      <x:c r="I4" s="97"/>
      <x:c r="J4" s="97" t="str">
        <x:v>EM ABERTO</x:v>
      </x:c>
      <x:c r="K4" s="97"/>
      <x:c r="L4" s="97"/>
    </x:row>
    <x:row r="5">
      <x:c r="A5" s="89" t="n">
        <x:f>COUNTA(Clientes!$B$7:$B$45)</x:f>
        <x:v>39</x:v>
      </x:c>
      <x:c r="B5" s="89"/>
      <x:c r="C5" s="89"/>
      <x:c r="D5" s="101" t="n">
        <x:f>SUM(Clientes!$D$7:$D$45)</x:f>
        <x:v>0</x:v>
      </x:c>
      <x:c r="E5" s="101"/>
      <x:c r="F5" s="101"/>
      <x:c r="G5" s="101" t="n">
        <x:f>SUMIFS(Clientes!$D$7:$D$45,Clientes!$F$7:$F$45,"Sim")</x:f>
        <x:v>0</x:v>
      </x:c>
      <x:c r="H5" s="101"/>
      <x:c r="I5" s="101"/>
      <x:c r="J5" s="101" t="n">
        <x:f>SUMIFS(Clientes!$D$7:$D$45,Clientes!$F$7:$F$45,"Não")</x:f>
        <x:v>0</x:v>
      </x:c>
      <x:c r="K5" s="101"/>
      <x:c r="L5" s="101"/>
    </x:row>
    <x:row r="6">
      <x:c r="A6" s="89"/>
      <x:c r="B6" s="89"/>
      <x:c r="C6" s="89"/>
      <x:c r="D6" s="101"/>
      <x:c r="E6" s="101"/>
      <x:c r="F6" s="101"/>
      <x:c r="G6" s="101"/>
      <x:c r="H6" s="101"/>
      <x:c r="I6" s="101"/>
      <x:c r="J6" s="101"/>
      <x:c r="K6" s="101"/>
      <x:c r="L6" s="101"/>
    </x:row>
    <x:row r="7">
      <x:c r="A7" s="89"/>
      <x:c r="B7" s="89"/>
      <x:c r="C7" s="89"/>
      <x:c r="D7" s="101"/>
      <x:c r="E7" s="101"/>
      <x:c r="F7" s="101"/>
      <x:c r="G7" s="101"/>
      <x:c r="H7" s="101"/>
      <x:c r="I7" s="101"/>
      <x:c r="J7" s="101"/>
      <x:c r="K7" s="101"/>
      <x:c r="L7" s="101"/>
    </x:row>
    <x:row r="8">
      <x:c r="A8" s="117"/>
    </x:row>
    <x:row r="9">
      <x:c r="A9" s="118" t="str">
        <x:v>CLIENTES EM ATRASO</x:v>
      </x:c>
    </x:row>
    <x:row r="10">
      <x:c r="A10" s="112" t="n">
        <x:f>COUNTIF(Clientes!$H$7:$H$45,"Em atraso")</x:f>
        <x:v>20</x:v>
      </x:c>
      <x:c r="B10" s="112"/>
      <x:c r="C10" s="112"/>
    </x:row>
    <x:row r="11">
      <x:c r="A11" s="112"/>
      <x:c r="B11" s="112"/>
      <x:c r="C11" s="112"/>
    </x:row>
    <x:row r="12">
      <x:c r="A12" s="117"/>
    </x:row>
    <x:row r="13">
      <x:c r="A13" s="117"/>
    </x:row>
    <x:row r="14">
      <x:c r="A14" s="119" t="str">
        <x:v>Dia pgto</x:v>
      </x:c>
      <x:c r="B14" s="12" t="str">
        <x:v>Clientes</x:v>
      </x:c>
      <x:c r="C14" s="12" t="str">
        <x:v>Previsto</x:v>
      </x:c>
      <x:c r="D14" s="12" t="str">
        <x:v>Recebido</x:v>
      </x:c>
      <x:c r="E14" s="12" t="str">
        <x:v>Em aberto</x:v>
      </x:c>
    </x:row>
    <x:row r="15">
      <x:c r="A15" s="117" t="n">
        <x:v>5</x:v>
      </x:c>
      <x:c r="B15" s="24" t="n">
        <x:f>COUNTIF(Clientes!$C$7:$C$45,A15)</x:f>
        <x:v>14</x:v>
      </x:c>
      <x:c r="C15" s="45" t="n">
        <x:f>SUMIF(Clientes!$C$7:$C$45,A15,Clientes!$D$7:$D$45)</x:f>
        <x:v>0</x:v>
      </x:c>
      <x:c r="D15" s="45" t="n">
        <x:f>SUMIFS(Clientes!$D$7:$D$45,Clientes!$C$7:$C$45,A15,Clientes!$F$7:$F$45,"Sim")</x:f>
        <x:v>0</x:v>
      </x:c>
      <x:c r="E15" s="45" t="n">
        <x:f>SUMIFS(Clientes!$D$7:$D$45,Clientes!$C$7:$C$45,A15,Clientes!$F$7:$F$45,"Não")</x:f>
        <x:v>0</x:v>
      </x:c>
    </x:row>
    <x:row r="16">
      <x:c r="A16" s="117" t="n">
        <x:v>7</x:v>
      </x:c>
      <x:c r="B16" s="24" t="n">
        <x:f>COUNTIF(Clientes!$C$7:$C$45,A16)</x:f>
        <x:v>1</x:v>
      </x:c>
      <x:c r="C16" s="45" t="n">
        <x:f>SUMIF(Clientes!$C$7:$C$45,A16,Clientes!$D$7:$D$45)</x:f>
        <x:v>0</x:v>
      </x:c>
      <x:c r="D16" s="45" t="n">
        <x:f>SUMIFS(Clientes!$D$7:$D$45,Clientes!$C$7:$C$45,A16,Clientes!$F$7:$F$45,"Sim")</x:f>
        <x:v>0</x:v>
      </x:c>
      <x:c r="E16" s="45" t="n">
        <x:f>SUMIFS(Clientes!$D$7:$D$45,Clientes!$C$7:$C$45,A16,Clientes!$F$7:$F$45,"Não")</x:f>
        <x:v>0</x:v>
      </x:c>
    </x:row>
    <x:row r="17">
      <x:c r="A17" s="117" t="n">
        <x:v>10</x:v>
      </x:c>
      <x:c r="B17" s="24" t="n">
        <x:f>COUNTIF(Clientes!$C$7:$C$45,A17)</x:f>
        <x:v>3</x:v>
      </x:c>
      <x:c r="C17" s="45" t="n">
        <x:f>SUMIF(Clientes!$C$7:$C$45,A17,Clientes!$D$7:$D$45)</x:f>
        <x:v>0</x:v>
      </x:c>
      <x:c r="D17" s="45" t="n">
        <x:f>SUMIFS(Clientes!$D$7:$D$45,Clientes!$C$7:$C$45,A17,Clientes!$F$7:$F$45,"Sim")</x:f>
        <x:v>0</x:v>
      </x:c>
      <x:c r="E17" s="45" t="n">
        <x:f>SUMIFS(Clientes!$D$7:$D$45,Clientes!$C$7:$C$45,A17,Clientes!$F$7:$F$45,"Não")</x:f>
        <x:v>0</x:v>
      </x:c>
    </x:row>
    <x:row r="18">
      <x:c r="A18" s="117" t="n">
        <x:v>12</x:v>
      </x:c>
      <x:c r="B18" s="24" t="n">
        <x:f>COUNTIF(Clientes!$C$7:$C$45,A18)</x:f>
        <x:v>1</x:v>
      </x:c>
      <x:c r="C18" s="45" t="n">
        <x:f>SUMIF(Clientes!$C$7:$C$45,A18,Clientes!$D$7:$D$45)</x:f>
        <x:v>0</x:v>
      </x:c>
      <x:c r="D18" s="45" t="n">
        <x:f>SUMIFS(Clientes!$D$7:$D$45,Clientes!$C$7:$C$45,A18,Clientes!$F$7:$F$45,"Sim")</x:f>
        <x:v>0</x:v>
      </x:c>
      <x:c r="E18" s="45" t="n">
        <x:f>SUMIFS(Clientes!$D$7:$D$45,Clientes!$C$7:$C$45,A18,Clientes!$F$7:$F$45,"Não")</x:f>
        <x:v>0</x:v>
      </x:c>
    </x:row>
    <x:row r="19">
      <x:c r="A19" s="117" t="n">
        <x:v>15</x:v>
      </x:c>
      <x:c r="B19" s="24" t="n">
        <x:f>COUNTIF(Clientes!$C$7:$C$45,A19)</x:f>
        <x:v>1</x:v>
      </x:c>
      <x:c r="C19" s="45" t="n">
        <x:f>SUMIF(Clientes!$C$7:$C$45,A19,Clientes!$D$7:$D$45)</x:f>
        <x:v>0</x:v>
      </x:c>
      <x:c r="D19" s="45" t="n">
        <x:f>SUMIFS(Clientes!$D$7:$D$45,Clientes!$C$7:$C$45,A19,Clientes!$F$7:$F$45,"Sim")</x:f>
        <x:v>0</x:v>
      </x:c>
      <x:c r="E19" s="45" t="n">
        <x:f>SUMIFS(Clientes!$D$7:$D$45,Clientes!$C$7:$C$45,A19,Clientes!$F$7:$F$45,"Não")</x:f>
        <x:v>0</x:v>
      </x:c>
    </x:row>
    <x:row r="20">
      <x:c r="A20" s="117" t="n">
        <x:v>24</x:v>
      </x:c>
      <x:c r="B20" s="24" t="n">
        <x:f>COUNTIF(Clientes!$C$7:$C$45,A20)</x:f>
        <x:v>1</x:v>
      </x:c>
      <x:c r="C20" s="45" t="n">
        <x:f>SUMIF(Clientes!$C$7:$C$45,A20,Clientes!$D$7:$D$45)</x:f>
        <x:v>0</x:v>
      </x:c>
      <x:c r="D20" s="45" t="n">
        <x:f>SUMIFS(Clientes!$D$7:$D$45,Clientes!$C$7:$C$45,A20,Clientes!$F$7:$F$45,"Sim")</x:f>
        <x:v>0</x:v>
      </x:c>
      <x:c r="E20" s="45" t="n">
        <x:f>SUMIFS(Clientes!$D$7:$D$45,Clientes!$C$7:$C$45,A20,Clientes!$F$7:$F$45,"Não")</x:f>
        <x:v>0</x:v>
      </x:c>
    </x:row>
    <x:row r="21">
      <x:c r="A21" s="117" t="n">
        <x:v>30</x:v>
      </x:c>
      <x:c r="B21" s="24" t="n">
        <x:f>COUNTIF(Clientes!$C$7:$C$45,A21)</x:f>
        <x:v>18</x:v>
      </x:c>
      <x:c r="C21" s="45" t="n">
        <x:f>SUMIF(Clientes!$C$7:$C$45,A21,Clientes!$D$7:$D$45)</x:f>
        <x:v>0</x:v>
      </x:c>
      <x:c r="D21" s="45" t="n">
        <x:f>SUMIFS(Clientes!$D$7:$D$45,Clientes!$C$7:$C$45,A21,Clientes!$F$7:$F$45,"Sim")</x:f>
        <x:v>0</x:v>
      </x:c>
      <x:c r="E21" s="45" t="n">
        <x:f>SUMIFS(Clientes!$D$7:$D$45,Clientes!$C$7:$C$45,A21,Clientes!$F$7:$F$45,"Não")</x:f>
        <x:v>0</x:v>
      </x:c>
    </x:row>
    <x:row r="22">
      <x:c r="A22" s="117"/>
    </x:row>
    <x:row r="23">
      <x:c r="A23" s="117"/>
    </x:row>
    <x:row r="24">
      <x:c r="A24" s="120" t="str">
        <x:v>COMO INTERPRETAR</x:v>
      </x:c>
      <x:c r="B24" s="24"/>
    </x:row>
    <x:row r="25">
      <x:c r="A25" s="121" t="str">
        <x:v>Pago</x:v>
      </x:c>
      <x:c r="B25" s="22" t="str">
        <x:v>Recebimento confirmado</x:v>
      </x:c>
      <x:c r="C25" t="str"/>
      <x:c r="D25" t="str"/>
      <x:c r="E25" t="str"/>
    </x:row>
    <x:row r="26">
      <x:c r="A26" s="121" t="str">
        <x:v>Pendente</x:v>
      </x:c>
      <x:c r="B26" s="22" t="str">
        <x:v>Ainda não pago e sem atraso</x:v>
      </x:c>
      <x:c r="C26" t="str"/>
      <x:c r="D26" t="str"/>
      <x:c r="E26" t="str"/>
    </x:row>
    <x:row r="27">
      <x:c r="A27" s="121" t="str">
        <x:v>Em atraso</x:v>
      </x:c>
      <x:c r="B27" s="22" t="str">
        <x:v>Vencimento passou e ainda não foi recebido</x:v>
      </x:c>
      <x:c r="C27" t="str"/>
      <x:c r="D27" t="str"/>
      <x:c r="E27" t="str"/>
    </x:row>
    <x:row r="28">
      <x:c r="A28" s="121" t="str">
        <x:v>Valor em aberto</x:v>
      </x:c>
      <x:c r="B28" s="22" t="str">
        <x:v>Valor que ainda falta receber</x:v>
      </x:c>
      <x:c r="C28" t="str"/>
      <x:c r="D28" t="str"/>
      <x:c r="E28" t="str"/>
    </x:row>
    <x:row r="29">
      <x:c r="A29" s="121" t="str">
        <x:v>Amarelo</x:v>
      </x:c>
      <x:c r="B29" s="22" t="str">
        <x:v>Campo para preenchimento manual</x:v>
      </x:c>
      <x:c r="C29" t="str"/>
      <x:c r="D29" t="str"/>
      <x:c r="E29" t="str"/>
    </x:row>
    <x:row r="30">
      <x:c r="A30" s="117"/>
    </x:row>
    <x:row r="31">
      <x:c r="A31" s="117"/>
    </x:row>
    <x:row r="32">
      <x:c r="A32" s="117"/>
    </x:row>
    <x:row r="33">
      <x:c r="A33" s="117"/>
    </x:row>
    <x:row r="34">
      <x:c r="A34" s="117"/>
    </x:row>
    <x:row r="35">
      <x:c r="A35" s="117"/>
    </x:row>
    <x:row r="36">
      <x:c r="A36" s="117"/>
    </x:row>
    <x:row r="37">
      <x:c r="A37" s="117"/>
    </x:row>
    <x:row r="38">
      <x:c r="A38" s="117"/>
    </x:row>
    <x:row r="39">
      <x:c r="A39" s="117"/>
    </x:row>
    <x:row r="40">
      <x:c r="A40" s="117"/>
    </x:row>
  </x:sheetData>
  <x:mergeCells>
    <x:mergeCell ref="A1:L1"/>
    <x:mergeCell ref="A2:C3"/>
    <x:mergeCell ref="D2:F3"/>
    <x:mergeCell ref="A5:C7"/>
    <x:mergeCell ref="D5:F7"/>
    <x:mergeCell ref="G5:I7"/>
    <x:mergeCell ref="J5:L7"/>
    <x:mergeCell ref="A4:C4"/>
    <x:mergeCell ref="D4:F4"/>
    <x:mergeCell ref="G4:I4"/>
    <x:mergeCell ref="J4:L4"/>
    <x:mergeCell ref="A9:C9"/>
    <x:mergeCell ref="A10:C11"/>
    <x:mergeCell ref="A24:E24"/>
  </x:mergeCells>
  <x:pageMargins left="0.7" right="0.7" top="0.75" bottom="0.75" header="0.3" footer="0.3"/>
  <x:drawing xmlns:r="http://schemas.openxmlformats.org/officeDocument/2006/relationships" r:id="R609bd1761b3d4775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0" hidden="0" customWidth="1"/>
    <x:col min="4" max="4" width="15" hidden="0" customWidth="1"/>
    <x:col min="5" max="5" width="14" hidden="0" customWidth="1"/>
    <x:col min="6" max="6" width="12" hidden="0" customWidth="1"/>
    <x:col min="7" max="7" width="16" hidden="0" customWidth="1"/>
    <x:col min="8" max="8" width="14" hidden="0" customWidth="1"/>
    <x:col min="9" max="9" width="12" hidden="0" customWidth="1"/>
    <x:col min="10" max="10" width="16" hidden="0" customWidth="1"/>
    <x:col min="11" max="11" width="28" hidden="0" customWidth="1"/>
    <x:col min="12" max="12" width="16" hidden="0" customWidth="1"/>
  </x:cols>
  <x:sheetData>
    <x:row r="1">
      <x:c r="A1" s="5" t="str">
        <x:v>CONTROLE DE CLIENTES E RECEBIMENTOS</x:v>
      </x:c>
    </x:row>
    <x:row r="2">
      <x:c r="A2" s="127" t="str">
        <x:v>Preencha apenas as colunas destacadas em amarelo; os campos de controle são calculados automaticamente.</x:v>
      </x:c>
    </x:row>
    <x:row r="3">
      <x:c r="A3" s="117"/>
    </x:row>
    <x:row r="4">
      <x:c r="A4" s="117"/>
    </x:row>
    <x:row r="5">
      <x:c r="A5" s="117"/>
    </x:row>
    <x:row r="6">
      <x:c r="A6" s="33" t="str">
        <x:v>Código</x:v>
      </x:c>
      <x:c r="B6" s="33" t="str">
        <x:v>Cliente</x:v>
      </x:c>
      <x:c r="C6" s="33" t="str">
        <x:v>Dia pgto</x:v>
      </x:c>
      <x:c r="D6" s="33" t="str">
        <x:v>Valor piscina</x:v>
      </x:c>
      <x:c r="E6" s="33" t="str">
        <x:v>Vencimento</x:v>
      </x:c>
      <x:c r="F6" s="33" t="str">
        <x:v>Recebido?</x:v>
      </x:c>
      <x:c r="G6" s="33" t="str">
        <x:v>Data pagamento</x:v>
      </x:c>
      <x:c r="H6" s="33" t="str">
        <x:v>Status</x:v>
      </x:c>
      <x:c r="I6" s="33" t="str">
        <x:v>Dias atraso</x:v>
      </x:c>
      <x:c r="J6" s="33" t="str">
        <x:v>Valor em aberto</x:v>
      </x:c>
      <x:c r="K6" s="33" t="str">
        <x:v>Observações</x:v>
      </x:c>
      <x:c r="L6" s="33" t="str">
        <x:v>Tipo</x:v>
      </x:c>
    </x:row>
    <x:row r="7">
      <x:c r="A7" s="128" t="str">
        <x:v>PA-001</x:v>
      </x:c>
      <x:c r="B7" s="61" t="str">
        <x:v>Jhamilly</x:v>
      </x:c>
      <x:c r="C7" s="49" t="n">
        <x:v>5</x:v>
      </x:c>
      <x:c r="D7" s="39"/>
      <x:c r="E7" s="51" t="n">
        <x:f>DATE(YEAR(Config!$B$4),MONTH(Config!$B$4),C7)</x:f>
        <x:v>46270</x:v>
      </x:c>
      <x:c r="F7" s="52" t="str">
        <x:v>Não</x:v>
      </x:c>
      <x:c r="G7" s="53"/>
      <x:c r="H7" s="49" t="str">
        <x:f>IF(F7="Sim","Pago",IF(TODAY()&gt;E7,"Em atraso","Pendente"))</x:f>
        <x:v>Em atraso</x:v>
      </x:c>
      <x:c r="I7" s="54" t="n">
        <x:f>IF(H7="Pago",IF(G7="",0,MAX(0,G7-E7)),MAX(0,TODAY()-E7))</x:f>
        <x:v>18</x:v>
      </x:c>
      <x:c r="J7" s="55" t="str">
        <x:f>IF(D7="","",IF(F7="Sim",0,D7))</x:f>
      </x:c>
      <x:c r="K7" s="63" t="str"/>
      <x:c r="L7" s="63" t="str"/>
    </x:row>
    <x:row r="8">
      <x:c r="A8" s="128" t="str">
        <x:v>PA-002</x:v>
      </x:c>
      <x:c r="B8" s="61" t="str">
        <x:v>Deyverson mariano</x:v>
      </x:c>
      <x:c r="C8" s="49" t="n">
        <x:v>5</x:v>
      </x:c>
      <x:c r="D8" s="39"/>
      <x:c r="E8" s="51" t="n">
        <x:f>DATE(YEAR(Config!$B$4),MONTH(Config!$B$4),C8)</x:f>
        <x:v>46270</x:v>
      </x:c>
      <x:c r="F8" s="52" t="str">
        <x:v>Não</x:v>
      </x:c>
      <x:c r="G8" s="53"/>
      <x:c r="H8" s="49" t="str">
        <x:f>IF(F8="Sim","Pago",IF(TODAY()&gt;E8,"Em atraso","Pendente"))</x:f>
        <x:v>Em atraso</x:v>
      </x:c>
      <x:c r="I8" s="54" t="n">
        <x:f>IF(H8="Pago",IF(G8="",0,MAX(0,G8-E8)),MAX(0,TODAY()-E8))</x:f>
        <x:v>18</x:v>
      </x:c>
      <x:c r="J8" s="55" t="str">
        <x:f>IF(D8="","",IF(F8="Sim",0,D8))</x:f>
      </x:c>
      <x:c r="K8" s="63" t="str"/>
      <x:c r="L8" s="63" t="str"/>
    </x:row>
    <x:row r="9">
      <x:c r="A9" s="128" t="str">
        <x:v>PA-003</x:v>
      </x:c>
      <x:c r="B9" s="61" t="str">
        <x:v>Breno</x:v>
      </x:c>
      <x:c r="C9" s="49" t="n">
        <x:v>5</x:v>
      </x:c>
      <x:c r="D9" s="39"/>
      <x:c r="E9" s="51" t="n">
        <x:f>DATE(YEAR(Config!$B$4),MONTH(Config!$B$4),C9)</x:f>
        <x:v>46270</x:v>
      </x:c>
      <x:c r="F9" s="52" t="str">
        <x:v>Não</x:v>
      </x:c>
      <x:c r="G9" s="53"/>
      <x:c r="H9" s="49" t="str">
        <x:f>IF(F9="Sim","Pago",IF(TODAY()&gt;E9,"Em atraso","Pendente"))</x:f>
        <x:v>Em atraso</x:v>
      </x:c>
      <x:c r="I9" s="54" t="n">
        <x:f>IF(H9="Pago",IF(G9="",0,MAX(0,G9-E9)),MAX(0,TODAY()-E9))</x:f>
        <x:v>18</x:v>
      </x:c>
      <x:c r="J9" s="55" t="str">
        <x:f>IF(D9="","",IF(F9="Sim",0,D9))</x:f>
      </x:c>
      <x:c r="K9" s="63" t="str"/>
      <x:c r="L9" s="63" t="str"/>
    </x:row>
    <x:row r="10">
      <x:c r="A10" s="128" t="str">
        <x:v>PA-004</x:v>
      </x:c>
      <x:c r="B10" s="61" t="str">
        <x:v>Italo</x:v>
      </x:c>
      <x:c r="C10" s="49" t="n">
        <x:v>5</x:v>
      </x:c>
      <x:c r="D10" s="39"/>
      <x:c r="E10" s="51" t="n">
        <x:f>DATE(YEAR(Config!$B$4),MONTH(Config!$B$4),C10)</x:f>
        <x:v>46270</x:v>
      </x:c>
      <x:c r="F10" s="52" t="str">
        <x:v>Não</x:v>
      </x:c>
      <x:c r="G10" s="53"/>
      <x:c r="H10" s="49" t="str">
        <x:f>IF(F10="Sim","Pago",IF(TODAY()&gt;E10,"Em atraso","Pendente"))</x:f>
        <x:v>Em atraso</x:v>
      </x:c>
      <x:c r="I10" s="54" t="n">
        <x:f>IF(H10="Pago",IF(G10="",0,MAX(0,G10-E10)),MAX(0,TODAY()-E10))</x:f>
        <x:v>18</x:v>
      </x:c>
      <x:c r="J10" s="55" t="str">
        <x:f>IF(D10="","",IF(F10="Sim",0,D10))</x:f>
      </x:c>
      <x:c r="K10" s="63" t="str"/>
      <x:c r="L10" s="63" t="str"/>
    </x:row>
    <x:row r="11">
      <x:c r="A11" s="128" t="str">
        <x:v>PA-005</x:v>
      </x:c>
      <x:c r="B11" s="61" t="str">
        <x:v>Luciano</x:v>
      </x:c>
      <x:c r="C11" s="49" t="n">
        <x:v>5</x:v>
      </x:c>
      <x:c r="D11" s="39"/>
      <x:c r="E11" s="51" t="n">
        <x:f>DATE(YEAR(Config!$B$4),MONTH(Config!$B$4),C11)</x:f>
        <x:v>46270</x:v>
      </x:c>
      <x:c r="F11" s="52" t="str">
        <x:v>Não</x:v>
      </x:c>
      <x:c r="G11" s="53"/>
      <x:c r="H11" s="49" t="str">
        <x:f>IF(F11="Sim","Pago",IF(TODAY()&gt;E11,"Em atraso","Pendente"))</x:f>
        <x:v>Em atraso</x:v>
      </x:c>
      <x:c r="I11" s="54" t="n">
        <x:f>IF(H11="Pago",IF(G11="",0,MAX(0,G11-E11)),MAX(0,TODAY()-E11))</x:f>
        <x:v>18</x:v>
      </x:c>
      <x:c r="J11" s="55" t="str">
        <x:f>IF(D11="","",IF(F11="Sim",0,D11))</x:f>
      </x:c>
      <x:c r="K11" s="63" t="str"/>
      <x:c r="L11" s="63" t="str"/>
    </x:row>
    <x:row r="12">
      <x:c r="A12" s="128" t="str">
        <x:v>PA-006</x:v>
      </x:c>
      <x:c r="B12" s="61" t="str">
        <x:v>Rosa</x:v>
      </x:c>
      <x:c r="C12" s="49" t="n">
        <x:v>5</x:v>
      </x:c>
      <x:c r="D12" s="39"/>
      <x:c r="E12" s="51" t="n">
        <x:f>DATE(YEAR(Config!$B$4),MONTH(Config!$B$4),C12)</x:f>
        <x:v>46270</x:v>
      </x:c>
      <x:c r="F12" s="52" t="str">
        <x:v>Não</x:v>
      </x:c>
      <x:c r="G12" s="53"/>
      <x:c r="H12" s="49" t="str">
        <x:f>IF(F12="Sim","Pago",IF(TODAY()&gt;E12,"Em atraso","Pendente"))</x:f>
        <x:v>Em atraso</x:v>
      </x:c>
      <x:c r="I12" s="54" t="n">
        <x:f>IF(H12="Pago",IF(G12="",0,MAX(0,G12-E12)),MAX(0,TODAY()-E12))</x:f>
        <x:v>18</x:v>
      </x:c>
      <x:c r="J12" s="55" t="str">
        <x:f>IF(D12="","",IF(F12="Sim",0,D12))</x:f>
      </x:c>
      <x:c r="K12" s="63" t="str"/>
      <x:c r="L12" s="63" t="str"/>
    </x:row>
    <x:row r="13">
      <x:c r="A13" s="128" t="str">
        <x:v>PA-007</x:v>
      </x:c>
      <x:c r="B13" s="61" t="str">
        <x:v>Ereni</x:v>
      </x:c>
      <x:c r="C13" s="49" t="n">
        <x:v>5</x:v>
      </x:c>
      <x:c r="D13" s="39"/>
      <x:c r="E13" s="51" t="n">
        <x:f>DATE(YEAR(Config!$B$4),MONTH(Config!$B$4),C13)</x:f>
        <x:v>46270</x:v>
      </x:c>
      <x:c r="F13" s="52" t="str">
        <x:v>Não</x:v>
      </x:c>
      <x:c r="G13" s="53"/>
      <x:c r="H13" s="49" t="str">
        <x:f>IF(F13="Sim","Pago",IF(TODAY()&gt;E13,"Em atraso","Pendente"))</x:f>
        <x:v>Em atraso</x:v>
      </x:c>
      <x:c r="I13" s="54" t="n">
        <x:f>IF(H13="Pago",IF(G13="",0,MAX(0,G13-E13)),MAX(0,TODAY()-E13))</x:f>
        <x:v>18</x:v>
      </x:c>
      <x:c r="J13" s="55" t="str">
        <x:f>IF(D13="","",IF(F13="Sim",0,D13))</x:f>
      </x:c>
      <x:c r="K13" s="63" t="str"/>
      <x:c r="L13" s="63" t="str"/>
    </x:row>
    <x:row r="14">
      <x:c r="A14" s="128" t="str">
        <x:v>PA-008</x:v>
      </x:c>
      <x:c r="B14" s="61" t="str">
        <x:v>Angela</x:v>
      </x:c>
      <x:c r="C14" s="49" t="n">
        <x:v>5</x:v>
      </x:c>
      <x:c r="D14" s="39"/>
      <x:c r="E14" s="51" t="n">
        <x:f>DATE(YEAR(Config!$B$4),MONTH(Config!$B$4),C14)</x:f>
        <x:v>46270</x:v>
      </x:c>
      <x:c r="F14" s="52" t="str">
        <x:v>Não</x:v>
      </x:c>
      <x:c r="G14" s="53"/>
      <x:c r="H14" s="49" t="str">
        <x:f>IF(F14="Sim","Pago",IF(TODAY()&gt;E14,"Em atraso","Pendente"))</x:f>
        <x:v>Em atraso</x:v>
      </x:c>
      <x:c r="I14" s="54" t="n">
        <x:f>IF(H14="Pago",IF(G14="",0,MAX(0,G14-E14)),MAX(0,TODAY()-E14))</x:f>
        <x:v>18</x:v>
      </x:c>
      <x:c r="J14" s="55" t="str">
        <x:f>IF(D14="","",IF(F14="Sim",0,D14))</x:f>
      </x:c>
      <x:c r="K14" s="63" t="str"/>
      <x:c r="L14" s="63" t="str"/>
    </x:row>
    <x:row r="15">
      <x:c r="A15" s="128" t="str">
        <x:v>PA-009</x:v>
      </x:c>
      <x:c r="B15" s="61" t="str">
        <x:v>Karolina</x:v>
      </x:c>
      <x:c r="C15" s="49" t="n">
        <x:v>5</x:v>
      </x:c>
      <x:c r="D15" s="39"/>
      <x:c r="E15" s="51" t="n">
        <x:f>DATE(YEAR(Config!$B$4),MONTH(Config!$B$4),C15)</x:f>
        <x:v>46270</x:v>
      </x:c>
      <x:c r="F15" s="52" t="str">
        <x:v>Não</x:v>
      </x:c>
      <x:c r="G15" s="53"/>
      <x:c r="H15" s="49" t="str">
        <x:f>IF(F15="Sim","Pago",IF(TODAY()&gt;E15,"Em atraso","Pendente"))</x:f>
        <x:v>Em atraso</x:v>
      </x:c>
      <x:c r="I15" s="54" t="n">
        <x:f>IF(H15="Pago",IF(G15="",0,MAX(0,G15-E15)),MAX(0,TODAY()-E15))</x:f>
        <x:v>18</x:v>
      </x:c>
      <x:c r="J15" s="55" t="str">
        <x:f>IF(D15="","",IF(F15="Sim",0,D15))</x:f>
      </x:c>
      <x:c r="K15" s="63" t="str"/>
      <x:c r="L15" s="63" t="str"/>
    </x:row>
    <x:row r="16">
      <x:c r="A16" s="128" t="str">
        <x:v>PA-010</x:v>
      </x:c>
      <x:c r="B16" s="61" t="str">
        <x:v>Ramon</x:v>
      </x:c>
      <x:c r="C16" s="49" t="n">
        <x:v>5</x:v>
      </x:c>
      <x:c r="D16" s="39"/>
      <x:c r="E16" s="51" t="n">
        <x:f>DATE(YEAR(Config!$B$4),MONTH(Config!$B$4),C16)</x:f>
        <x:v>46270</x:v>
      </x:c>
      <x:c r="F16" s="52" t="str">
        <x:v>Não</x:v>
      </x:c>
      <x:c r="G16" s="53"/>
      <x:c r="H16" s="49" t="str">
        <x:f>IF(F16="Sim","Pago",IF(TODAY()&gt;E16,"Em atraso","Pendente"))</x:f>
        <x:v>Em atraso</x:v>
      </x:c>
      <x:c r="I16" s="54" t="n">
        <x:f>IF(H16="Pago",IF(G16="",0,MAX(0,G16-E16)),MAX(0,TODAY()-E16))</x:f>
        <x:v>18</x:v>
      </x:c>
      <x:c r="J16" s="55" t="str">
        <x:f>IF(D16="","",IF(F16="Sim",0,D16))</x:f>
      </x:c>
      <x:c r="K16" s="63" t="str"/>
      <x:c r="L16" s="63" t="str"/>
    </x:row>
    <x:row r="17">
      <x:c r="A17" s="128" t="str">
        <x:v>PA-011</x:v>
      </x:c>
      <x:c r="B17" s="61" t="str">
        <x:v>Colibris</x:v>
      </x:c>
      <x:c r="C17" s="49" t="n">
        <x:v>5</x:v>
      </x:c>
      <x:c r="D17" s="39"/>
      <x:c r="E17" s="51" t="n">
        <x:f>DATE(YEAR(Config!$B$4),MONTH(Config!$B$4),C17)</x:f>
        <x:v>46270</x:v>
      </x:c>
      <x:c r="F17" s="52" t="str">
        <x:v>Não</x:v>
      </x:c>
      <x:c r="G17" s="53"/>
      <x:c r="H17" s="49" t="str">
        <x:f>IF(F17="Sim","Pago",IF(TODAY()&gt;E17,"Em atraso","Pendente"))</x:f>
        <x:v>Em atraso</x:v>
      </x:c>
      <x:c r="I17" s="54" t="n">
        <x:f>IF(H17="Pago",IF(G17="",0,MAX(0,G17-E17)),MAX(0,TODAY()-E17))</x:f>
        <x:v>18</x:v>
      </x:c>
      <x:c r="J17" s="55" t="str">
        <x:f>IF(D17="","",IF(F17="Sim",0,D17))</x:f>
      </x:c>
      <x:c r="K17" s="63" t="str"/>
      <x:c r="L17" s="63" t="str"/>
    </x:row>
    <x:row r="18">
      <x:c r="A18" s="128" t="str">
        <x:v>PA-012</x:v>
      </x:c>
      <x:c r="B18" s="61" t="str">
        <x:v>Israel</x:v>
      </x:c>
      <x:c r="C18" s="49" t="n">
        <x:v>5</x:v>
      </x:c>
      <x:c r="D18" s="39"/>
      <x:c r="E18" s="51" t="n">
        <x:f>DATE(YEAR(Config!$B$4),MONTH(Config!$B$4),C18)</x:f>
        <x:v>46270</x:v>
      </x:c>
      <x:c r="F18" s="52" t="str">
        <x:v>Não</x:v>
      </x:c>
      <x:c r="G18" s="53"/>
      <x:c r="H18" s="49" t="str">
        <x:f>IF(F18="Sim","Pago",IF(TODAY()&gt;E18,"Em atraso","Pendente"))</x:f>
        <x:v>Em atraso</x:v>
      </x:c>
      <x:c r="I18" s="54" t="n">
        <x:f>IF(H18="Pago",IF(G18="",0,MAX(0,G18-E18)),MAX(0,TODAY()-E18))</x:f>
        <x:v>18</x:v>
      </x:c>
      <x:c r="J18" s="55" t="str">
        <x:f>IF(D18="","",IF(F18="Sim",0,D18))</x:f>
      </x:c>
      <x:c r="K18" s="63" t="str"/>
      <x:c r="L18" s="63" t="str"/>
    </x:row>
    <x:row r="19">
      <x:c r="A19" s="128" t="str">
        <x:v>PA-013</x:v>
      </x:c>
      <x:c r="B19" s="61" t="str">
        <x:v>Adriana</x:v>
      </x:c>
      <x:c r="C19" s="49" t="n">
        <x:v>5</x:v>
      </x:c>
      <x:c r="D19" s="39"/>
      <x:c r="E19" s="51" t="n">
        <x:f>DATE(YEAR(Config!$B$4),MONTH(Config!$B$4),C19)</x:f>
        <x:v>46270</x:v>
      </x:c>
      <x:c r="F19" s="52" t="str">
        <x:v>Não</x:v>
      </x:c>
      <x:c r="G19" s="53"/>
      <x:c r="H19" s="49" t="str">
        <x:f>IF(F19="Sim","Pago",IF(TODAY()&gt;E19,"Em atraso","Pendente"))</x:f>
        <x:v>Em atraso</x:v>
      </x:c>
      <x:c r="I19" s="54" t="n">
        <x:f>IF(H19="Pago",IF(G19="",0,MAX(0,G19-E19)),MAX(0,TODAY()-E19))</x:f>
        <x:v>18</x:v>
      </x:c>
      <x:c r="J19" s="55" t="str">
        <x:f>IF(D19="","",IF(F19="Sim",0,D19))</x:f>
      </x:c>
      <x:c r="K19" s="63" t="str"/>
      <x:c r="L19" s="63" t="str"/>
    </x:row>
    <x:row r="20">
      <x:c r="A20" s="128" t="str">
        <x:v>PA-014</x:v>
      </x:c>
      <x:c r="B20" s="61" t="str">
        <x:v>Renata</x:v>
      </x:c>
      <x:c r="C20" s="49" t="n">
        <x:v>5</x:v>
      </x:c>
      <x:c r="D20" s="39"/>
      <x:c r="E20" s="51" t="n">
        <x:f>DATE(YEAR(Config!$B$4),MONTH(Config!$B$4),C20)</x:f>
        <x:v>46270</x:v>
      </x:c>
      <x:c r="F20" s="52" t="str">
        <x:v>Não</x:v>
      </x:c>
      <x:c r="G20" s="53"/>
      <x:c r="H20" s="49" t="str">
        <x:f>IF(F20="Sim","Pago",IF(TODAY()&gt;E20,"Em atraso","Pendente"))</x:f>
        <x:v>Em atraso</x:v>
      </x:c>
      <x:c r="I20" s="54" t="n">
        <x:f>IF(H20="Pago",IF(G20="",0,MAX(0,G20-E20)),MAX(0,TODAY()-E20))</x:f>
        <x:v>18</x:v>
      </x:c>
      <x:c r="J20" s="55" t="str">
        <x:f>IF(D20="","",IF(F20="Sim",0,D20))</x:f>
      </x:c>
      <x:c r="K20" s="63" t="str"/>
      <x:c r="L20" s="63" t="str"/>
    </x:row>
    <x:row r="21">
      <x:c r="A21" s="128" t="str">
        <x:v>PA-015</x:v>
      </x:c>
      <x:c r="B21" s="61" t="str">
        <x:v>Creuza</x:v>
      </x:c>
      <x:c r="C21" s="49" t="n">
        <x:v>7</x:v>
      </x:c>
      <x:c r="D21" s="39"/>
      <x:c r="E21" s="51" t="n">
        <x:f>DATE(YEAR(Config!$B$4),MONTH(Config!$B$4),C21)</x:f>
        <x:v>46272</x:v>
      </x:c>
      <x:c r="F21" s="52" t="str">
        <x:v>Não</x:v>
      </x:c>
      <x:c r="G21" s="53"/>
      <x:c r="H21" s="49" t="str">
        <x:f>IF(F21="Sim","Pago",IF(TODAY()&gt;E21,"Em atraso","Pendente"))</x:f>
        <x:v>Em atraso</x:v>
      </x:c>
      <x:c r="I21" s="54" t="n">
        <x:f>IF(H21="Pago",IF(G21="",0,MAX(0,G21-E21)),MAX(0,TODAY()-E21))</x:f>
        <x:v>16</x:v>
      </x:c>
      <x:c r="J21" s="55" t="str">
        <x:f>IF(D21="","",IF(F21="Sim",0,D21))</x:f>
      </x:c>
      <x:c r="K21" s="63" t="str"/>
      <x:c r="L21" s="63" t="str"/>
    </x:row>
    <x:row r="22">
      <x:c r="A22" s="128" t="str">
        <x:v>PA-016</x:v>
      </x:c>
      <x:c r="B22" s="61" t="str">
        <x:v>Audileia</x:v>
      </x:c>
      <x:c r="C22" s="49" t="n">
        <x:v>10</x:v>
      </x:c>
      <x:c r="D22" s="39"/>
      <x:c r="E22" s="51" t="n">
        <x:f>DATE(YEAR(Config!$B$4),MONTH(Config!$B$4),C22)</x:f>
        <x:v>46275</x:v>
      </x:c>
      <x:c r="F22" s="52" t="str">
        <x:v>Não</x:v>
      </x:c>
      <x:c r="G22" s="53"/>
      <x:c r="H22" s="49" t="str">
        <x:f>IF(F22="Sim","Pago",IF(TODAY()&gt;E22,"Em atraso","Pendente"))</x:f>
        <x:v>Em atraso</x:v>
      </x:c>
      <x:c r="I22" s="54" t="n">
        <x:f>IF(H22="Pago",IF(G22="",0,MAX(0,G22-E22)),MAX(0,TODAY()-E22))</x:f>
        <x:v>13</x:v>
      </x:c>
      <x:c r="J22" s="55" t="str">
        <x:f>IF(D22="","",IF(F22="Sim",0,D22))</x:f>
      </x:c>
      <x:c r="K22" s="63" t="str"/>
      <x:c r="L22" s="63" t="str"/>
    </x:row>
    <x:row r="23">
      <x:c r="A23" s="128" t="str">
        <x:v>PA-017</x:v>
      </x:c>
      <x:c r="B23" s="61" t="str">
        <x:v>Rodrigo</x:v>
      </x:c>
      <x:c r="C23" s="49" t="n">
        <x:v>10</x:v>
      </x:c>
      <x:c r="D23" s="39"/>
      <x:c r="E23" s="51" t="n">
        <x:f>DATE(YEAR(Config!$B$4),MONTH(Config!$B$4),C23)</x:f>
        <x:v>46275</x:v>
      </x:c>
      <x:c r="F23" s="52" t="str">
        <x:v>Não</x:v>
      </x:c>
      <x:c r="G23" s="53"/>
      <x:c r="H23" s="49" t="str">
        <x:f>IF(F23="Sim","Pago",IF(TODAY()&gt;E23,"Em atraso","Pendente"))</x:f>
        <x:v>Em atraso</x:v>
      </x:c>
      <x:c r="I23" s="54" t="n">
        <x:f>IF(H23="Pago",IF(G23="",0,MAX(0,G23-E23)),MAX(0,TODAY()-E23))</x:f>
        <x:v>13</x:v>
      </x:c>
      <x:c r="J23" s="55" t="str">
        <x:f>IF(D23="","",IF(F23="Sim",0,D23))</x:f>
      </x:c>
      <x:c r="K23" s="63" t="str"/>
      <x:c r="L23" s="63" t="str"/>
    </x:row>
    <x:row r="24">
      <x:c r="A24" s="128" t="str">
        <x:v>PA-018</x:v>
      </x:c>
      <x:c r="B24" s="61" t="str">
        <x:v>Joyce</x:v>
      </x:c>
      <x:c r="C24" s="49" t="n">
        <x:v>10</x:v>
      </x:c>
      <x:c r="D24" s="39"/>
      <x:c r="E24" s="51" t="n">
        <x:f>DATE(YEAR(Config!$B$4),MONTH(Config!$B$4),C24)</x:f>
        <x:v>46275</x:v>
      </x:c>
      <x:c r="F24" s="52" t="str">
        <x:v>Não</x:v>
      </x:c>
      <x:c r="G24" s="53"/>
      <x:c r="H24" s="49" t="str">
        <x:f>IF(F24="Sim","Pago",IF(TODAY()&gt;E24,"Em atraso","Pendente"))</x:f>
        <x:v>Em atraso</x:v>
      </x:c>
      <x:c r="I24" s="54" t="n">
        <x:f>IF(H24="Pago",IF(G24="",0,MAX(0,G24-E24)),MAX(0,TODAY()-E24))</x:f>
        <x:v>13</x:v>
      </x:c>
      <x:c r="J24" s="55" t="str">
        <x:f>IF(D24="","",IF(F24="Sim",0,D24))</x:f>
      </x:c>
      <x:c r="K24" s="63" t="str"/>
      <x:c r="L24" s="63" t="str"/>
    </x:row>
    <x:row r="25">
      <x:c r="A25" s="128" t="str">
        <x:v>PA-019</x:v>
      </x:c>
      <x:c r="B25" s="61" t="str">
        <x:v>Arnaldo</x:v>
      </x:c>
      <x:c r="C25" s="49" t="n">
        <x:v>15</x:v>
      </x:c>
      <x:c r="D25" s="39"/>
      <x:c r="E25" s="51" t="n">
        <x:f>DATE(YEAR(Config!$B$4),MONTH(Config!$B$4),C25)</x:f>
        <x:v>46280</x:v>
      </x:c>
      <x:c r="F25" s="52" t="str">
        <x:v>Não</x:v>
      </x:c>
      <x:c r="G25" s="53"/>
      <x:c r="H25" s="49" t="str">
        <x:f>IF(F25="Sim","Pago",IF(TODAY()&gt;E25,"Em atraso","Pendente"))</x:f>
        <x:v>Em atraso</x:v>
      </x:c>
      <x:c r="I25" s="54" t="n">
        <x:f>IF(H25="Pago",IF(G25="",0,MAX(0,G25-E25)),MAX(0,TODAY()-E25))</x:f>
        <x:v>8</x:v>
      </x:c>
      <x:c r="J25" s="55" t="str">
        <x:f>IF(D25="","",IF(F25="Sim",0,D25))</x:f>
      </x:c>
      <x:c r="K25" s="63" t="str"/>
      <x:c r="L25" s="63" t="str"/>
    </x:row>
    <x:row r="26">
      <x:c r="A26" s="128" t="str">
        <x:v>PA-020</x:v>
      </x:c>
      <x:c r="B26" s="61" t="str">
        <x:v>Fabiola</x:v>
      </x:c>
      <x:c r="C26" s="49" t="n">
        <x:v>12</x:v>
      </x:c>
      <x:c r="D26" s="39"/>
      <x:c r="E26" s="51" t="n">
        <x:f>DATE(YEAR(Config!$B$4),MONTH(Config!$B$4),C26)</x:f>
        <x:v>46277</x:v>
      </x:c>
      <x:c r="F26" s="52" t="str">
        <x:v>Não</x:v>
      </x:c>
      <x:c r="G26" s="53"/>
      <x:c r="H26" s="49" t="str">
        <x:f>IF(F26="Sim","Pago",IF(TODAY()&gt;E26,"Em atraso","Pendente"))</x:f>
        <x:v>Em atraso</x:v>
      </x:c>
      <x:c r="I26" s="54" t="n">
        <x:f>IF(H26="Pago",IF(G26="",0,MAX(0,G26-E26)),MAX(0,TODAY()-E26))</x:f>
        <x:v>11</x:v>
      </x:c>
      <x:c r="J26" s="55" t="str">
        <x:f>IF(D26="","",IF(F26="Sim",0,D26))</x:f>
      </x:c>
      <x:c r="K26" s="63" t="str"/>
      <x:c r="L26" s="63" t="str"/>
    </x:row>
    <x:row r="27">
      <x:c r="A27" s="128" t="str">
        <x:v>PA-021</x:v>
      </x:c>
      <x:c r="B27" s="61" t="str">
        <x:v>Aladim</x:v>
      </x:c>
      <x:c r="C27" s="49" t="n">
        <x:v>24</x:v>
      </x:c>
      <x:c r="D27" s="39"/>
      <x:c r="E27" s="51" t="n">
        <x:f>DATE(YEAR(Config!$B$4),MONTH(Config!$B$4),C27)</x:f>
        <x:v>46289</x:v>
      </x:c>
      <x:c r="F27" s="52" t="str">
        <x:v>Não</x:v>
      </x:c>
      <x:c r="G27" s="53"/>
      <x:c r="H27" s="49" t="str">
        <x:f>IF(F27="Sim","Pago",IF(TODAY()&gt;E27,"Em atraso","Pendente"))</x:f>
        <x:v>Pendente</x:v>
      </x:c>
      <x:c r="I27" s="54" t="n">
        <x:f>IF(H27="Pago",IF(G27="",0,MAX(0,G27-E27)),MAX(0,TODAY()-E27))</x:f>
        <x:v>0</x:v>
      </x:c>
      <x:c r="J27" s="55" t="str">
        <x:f>IF(D27="","",IF(F27="Sim",0,D27))</x:f>
      </x:c>
      <x:c r="K27" s="63" t="str"/>
      <x:c r="L27" s="63" t="str"/>
    </x:row>
    <x:row r="28">
      <x:c r="A28" s="128" t="str">
        <x:v>PA-022</x:v>
      </x:c>
      <x:c r="B28" s="61" t="str">
        <x:v>Geraldo</x:v>
      </x:c>
      <x:c r="C28" s="49" t="n">
        <x:v>30</x:v>
      </x:c>
      <x:c r="D28" s="39"/>
      <x:c r="E28" s="51" t="n">
        <x:f>DATE(YEAR(Config!$B$4),MONTH(Config!$B$4),C28)</x:f>
        <x:v>46295</x:v>
      </x:c>
      <x:c r="F28" s="52" t="str">
        <x:v>Não</x:v>
      </x:c>
      <x:c r="G28" s="53"/>
      <x:c r="H28" s="49" t="str">
        <x:f>IF(F28="Sim","Pago",IF(TODAY()&gt;E28,"Em atraso","Pendente"))</x:f>
        <x:v>Pendente</x:v>
      </x:c>
      <x:c r="I28" s="54" t="n">
        <x:f>IF(H28="Pago",IF(G28="",0,MAX(0,G28-E28)),MAX(0,TODAY()-E28))</x:f>
        <x:v>0</x:v>
      </x:c>
      <x:c r="J28" s="55" t="str">
        <x:f>IF(D28="","",IF(F28="Sim",0,D28))</x:f>
      </x:c>
      <x:c r="K28" s="63" t="str"/>
      <x:c r="L28" s="63" t="str"/>
    </x:row>
    <x:row r="29">
      <x:c r="A29" s="128" t="str">
        <x:v>PA-023</x:v>
      </x:c>
      <x:c r="B29" s="61" t="str">
        <x:v>Rai</x:v>
      </x:c>
      <x:c r="C29" s="49" t="n">
        <x:v>30</x:v>
      </x:c>
      <x:c r="D29" s="39"/>
      <x:c r="E29" s="51" t="n">
        <x:f>DATE(YEAR(Config!$B$4),MONTH(Config!$B$4),C29)</x:f>
        <x:v>46295</x:v>
      </x:c>
      <x:c r="F29" s="52" t="str">
        <x:v>Não</x:v>
      </x:c>
      <x:c r="G29" s="53"/>
      <x:c r="H29" s="49" t="str">
        <x:f>IF(F29="Sim","Pago",IF(TODAY()&gt;E29,"Em atraso","Pendente"))</x:f>
        <x:v>Pendente</x:v>
      </x:c>
      <x:c r="I29" s="54" t="n">
        <x:f>IF(H29="Pago",IF(G29="",0,MAX(0,G29-E29)),MAX(0,TODAY()-E29))</x:f>
        <x:v>0</x:v>
      </x:c>
      <x:c r="J29" s="55" t="str">
        <x:f>IF(D29="","",IF(F29="Sim",0,D29))</x:f>
      </x:c>
      <x:c r="K29" s="63" t="str"/>
      <x:c r="L29" s="63" t="str"/>
    </x:row>
    <x:row r="30">
      <x:c r="A30" s="128" t="str">
        <x:v>PA-024</x:v>
      </x:c>
      <x:c r="B30" s="61" t="str">
        <x:v>Lau professora</x:v>
      </x:c>
      <x:c r="C30" s="49" t="n">
        <x:v>30</x:v>
      </x:c>
      <x:c r="D30" s="39"/>
      <x:c r="E30" s="51" t="n">
        <x:f>DATE(YEAR(Config!$B$4),MONTH(Config!$B$4),C30)</x:f>
        <x:v>46295</x:v>
      </x:c>
      <x:c r="F30" s="52" t="str">
        <x:v>Não</x:v>
      </x:c>
      <x:c r="G30" s="53"/>
      <x:c r="H30" s="49" t="str">
        <x:f>IF(F30="Sim","Pago",IF(TODAY()&gt;E30,"Em atraso","Pendente"))</x:f>
        <x:v>Pendente</x:v>
      </x:c>
      <x:c r="I30" s="54" t="n">
        <x:f>IF(H30="Pago",IF(G30="",0,MAX(0,G30-E30)),MAX(0,TODAY()-E30))</x:f>
        <x:v>0</x:v>
      </x:c>
      <x:c r="J30" s="55" t="str">
        <x:f>IF(D30="","",IF(F30="Sim",0,D30))</x:f>
      </x:c>
      <x:c r="K30" s="63" t="str"/>
      <x:c r="L30" s="63" t="str"/>
    </x:row>
    <x:row r="31">
      <x:c r="A31" s="128" t="str">
        <x:v>PA-025</x:v>
      </x:c>
      <x:c r="B31" s="61" t="str">
        <x:v>Nathalia</x:v>
      </x:c>
      <x:c r="C31" s="49" t="n">
        <x:v>30</x:v>
      </x:c>
      <x:c r="D31" s="39"/>
      <x:c r="E31" s="51" t="n">
        <x:f>DATE(YEAR(Config!$B$4),MONTH(Config!$B$4),C31)</x:f>
        <x:v>46295</x:v>
      </x:c>
      <x:c r="F31" s="52" t="str">
        <x:v>Não</x:v>
      </x:c>
      <x:c r="G31" s="53"/>
      <x:c r="H31" s="49" t="str">
        <x:f>IF(F31="Sim","Pago",IF(TODAY()&gt;E31,"Em atraso","Pendente"))</x:f>
        <x:v>Pendente</x:v>
      </x:c>
      <x:c r="I31" s="54" t="n">
        <x:f>IF(H31="Pago",IF(G31="",0,MAX(0,G31-E31)),MAX(0,TODAY()-E31))</x:f>
        <x:v>0</x:v>
      </x:c>
      <x:c r="J31" s="55" t="str">
        <x:f>IF(D31="","",IF(F31="Sim",0,D31))</x:f>
      </x:c>
      <x:c r="K31" s="63" t="str"/>
      <x:c r="L31" s="63" t="str"/>
    </x:row>
    <x:row r="32">
      <x:c r="A32" s="128" t="str">
        <x:v>PA-026</x:v>
      </x:c>
      <x:c r="B32" s="61" t="str">
        <x:v>Thiago</x:v>
      </x:c>
      <x:c r="C32" s="49" t="n">
        <x:v>30</x:v>
      </x:c>
      <x:c r="D32" s="39"/>
      <x:c r="E32" s="51" t="n">
        <x:f>DATE(YEAR(Config!$B$4),MONTH(Config!$B$4),C32)</x:f>
        <x:v>46295</x:v>
      </x:c>
      <x:c r="F32" s="52" t="str">
        <x:v>Não</x:v>
      </x:c>
      <x:c r="G32" s="53"/>
      <x:c r="H32" s="49" t="str">
        <x:f>IF(F32="Sim","Pago",IF(TODAY()&gt;E32,"Em atraso","Pendente"))</x:f>
        <x:v>Pendente</x:v>
      </x:c>
      <x:c r="I32" s="54" t="n">
        <x:f>IF(H32="Pago",IF(G32="",0,MAX(0,G32-E32)),MAX(0,TODAY()-E32))</x:f>
        <x:v>0</x:v>
      </x:c>
      <x:c r="J32" s="55" t="str">
        <x:f>IF(D32="","",IF(F32="Sim",0,D32))</x:f>
      </x:c>
      <x:c r="K32" s="63" t="str"/>
      <x:c r="L32" s="63" t="str"/>
    </x:row>
    <x:row r="33">
      <x:c r="A33" s="128" t="str">
        <x:v>PA-027</x:v>
      </x:c>
      <x:c r="B33" s="61" t="str">
        <x:v>Deiverson</x:v>
      </x:c>
      <x:c r="C33" s="49" t="n">
        <x:v>30</x:v>
      </x:c>
      <x:c r="D33" s="39"/>
      <x:c r="E33" s="51" t="n">
        <x:f>DATE(YEAR(Config!$B$4),MONTH(Config!$B$4),C33)</x:f>
        <x:v>46295</x:v>
      </x:c>
      <x:c r="F33" s="52" t="str">
        <x:v>Não</x:v>
      </x:c>
      <x:c r="G33" s="53"/>
      <x:c r="H33" s="49" t="str">
        <x:f>IF(F33="Sim","Pago",IF(TODAY()&gt;E33,"Em atraso","Pendente"))</x:f>
        <x:v>Pendente</x:v>
      </x:c>
      <x:c r="I33" s="54" t="n">
        <x:f>IF(H33="Pago",IF(G33="",0,MAX(0,G33-E33)),MAX(0,TODAY()-E33))</x:f>
        <x:v>0</x:v>
      </x:c>
      <x:c r="J33" s="55" t="str">
        <x:f>IF(D33="","",IF(F33="Sim",0,D33))</x:f>
      </x:c>
      <x:c r="K33" s="63" t="str"/>
      <x:c r="L33" s="63" t="str"/>
    </x:row>
    <x:row r="34">
      <x:c r="A34" s="128" t="str">
        <x:v>PA-028</x:v>
      </x:c>
      <x:c r="B34" s="61" t="str">
        <x:v>Elisangela</x:v>
      </x:c>
      <x:c r="C34" s="49" t="n">
        <x:v>30</x:v>
      </x:c>
      <x:c r="D34" s="39"/>
      <x:c r="E34" s="51" t="n">
        <x:f>DATE(YEAR(Config!$B$4),MONTH(Config!$B$4),C34)</x:f>
        <x:v>46295</x:v>
      </x:c>
      <x:c r="F34" s="52" t="str">
        <x:v>Não</x:v>
      </x:c>
      <x:c r="G34" s="53"/>
      <x:c r="H34" s="49" t="str">
        <x:f>IF(F34="Sim","Pago",IF(TODAY()&gt;E34,"Em atraso","Pendente"))</x:f>
        <x:v>Pendente</x:v>
      </x:c>
      <x:c r="I34" s="54" t="n">
        <x:f>IF(H34="Pago",IF(G34="",0,MAX(0,G34-E34)),MAX(0,TODAY()-E34))</x:f>
        <x:v>0</x:v>
      </x:c>
      <x:c r="J34" s="55" t="str">
        <x:f>IF(D34="","",IF(F34="Sim",0,D34))</x:f>
      </x:c>
      <x:c r="K34" s="63" t="str"/>
      <x:c r="L34" s="63" t="str"/>
    </x:row>
    <x:row r="35">
      <x:c r="A35" s="128" t="str">
        <x:v>PA-029</x:v>
      </x:c>
      <x:c r="B35" s="61" t="str">
        <x:v>Pai Elisangela</x:v>
      </x:c>
      <x:c r="C35" s="49" t="n">
        <x:v>30</x:v>
      </x:c>
      <x:c r="D35" s="39"/>
      <x:c r="E35" s="51" t="n">
        <x:f>DATE(YEAR(Config!$B$4),MONTH(Config!$B$4),C35)</x:f>
        <x:v>46295</x:v>
      </x:c>
      <x:c r="F35" s="52" t="str">
        <x:v>Não</x:v>
      </x:c>
      <x:c r="G35" s="53"/>
      <x:c r="H35" s="49" t="str">
        <x:f>IF(F35="Sim","Pago",IF(TODAY()&gt;E35,"Em atraso","Pendente"))</x:f>
        <x:v>Pendente</x:v>
      </x:c>
      <x:c r="I35" s="54" t="n">
        <x:f>IF(H35="Pago",IF(G35="",0,MAX(0,G35-E35)),MAX(0,TODAY()-E35))</x:f>
        <x:v>0</x:v>
      </x:c>
      <x:c r="J35" s="55" t="str">
        <x:f>IF(D35="","",IF(F35="Sim",0,D35))</x:f>
      </x:c>
      <x:c r="K35" s="63" t="str"/>
      <x:c r="L35" s="63" t="str"/>
    </x:row>
    <x:row r="36">
      <x:c r="A36" s="128" t="str">
        <x:v>PA-030</x:v>
      </x:c>
      <x:c r="B36" s="61" t="str">
        <x:v>Marcelo pg</x:v>
      </x:c>
      <x:c r="C36" s="49" t="n">
        <x:v>30</x:v>
      </x:c>
      <x:c r="D36" s="39"/>
      <x:c r="E36" s="51" t="n">
        <x:f>DATE(YEAR(Config!$B$4),MONTH(Config!$B$4),C36)</x:f>
        <x:v>46295</x:v>
      </x:c>
      <x:c r="F36" s="52" t="str">
        <x:v>Não</x:v>
      </x:c>
      <x:c r="G36" s="53"/>
      <x:c r="H36" s="49" t="str">
        <x:f>IF(F36="Sim","Pago",IF(TODAY()&gt;E36,"Em atraso","Pendente"))</x:f>
        <x:v>Pendente</x:v>
      </x:c>
      <x:c r="I36" s="54" t="n">
        <x:f>IF(H36="Pago",IF(G36="",0,MAX(0,G36-E36)),MAX(0,TODAY()-E36))</x:f>
        <x:v>0</x:v>
      </x:c>
      <x:c r="J36" s="55" t="str">
        <x:f>IF(D36="","",IF(F36="Sim",0,D36))</x:f>
      </x:c>
      <x:c r="K36" s="63" t="str"/>
      <x:c r="L36" s="63" t="str"/>
    </x:row>
    <x:row r="37">
      <x:c r="A37" s="128" t="str">
        <x:v>PA-031</x:v>
      </x:c>
      <x:c r="B37" s="61" t="str">
        <x:v>Fernando</x:v>
      </x:c>
      <x:c r="C37" s="49" t="n">
        <x:v>30</x:v>
      </x:c>
      <x:c r="D37" s="39"/>
      <x:c r="E37" s="51" t="n">
        <x:f>DATE(YEAR(Config!$B$4),MONTH(Config!$B$4),C37)</x:f>
        <x:v>46295</x:v>
      </x:c>
      <x:c r="F37" s="52" t="str">
        <x:v>Não</x:v>
      </x:c>
      <x:c r="G37" s="53"/>
      <x:c r="H37" s="49" t="str">
        <x:f>IF(F37="Sim","Pago",IF(TODAY()&gt;E37,"Em atraso","Pendente"))</x:f>
        <x:v>Pendente</x:v>
      </x:c>
      <x:c r="I37" s="54" t="n">
        <x:f>IF(H37="Pago",IF(G37="",0,MAX(0,G37-E37)),MAX(0,TODAY()-E37))</x:f>
        <x:v>0</x:v>
      </x:c>
      <x:c r="J37" s="55" t="str">
        <x:f>IF(D37="","",IF(F37="Sim",0,D37))</x:f>
      </x:c>
      <x:c r="K37" s="63" t="str"/>
      <x:c r="L37" s="63" t="str"/>
    </x:row>
    <x:row r="38">
      <x:c r="A38" s="128" t="str">
        <x:v>PA-032</x:v>
      </x:c>
      <x:c r="B38" s="61" t="str">
        <x:v>Edson</x:v>
      </x:c>
      <x:c r="C38" s="49" t="n">
        <x:v>30</x:v>
      </x:c>
      <x:c r="D38" s="39"/>
      <x:c r="E38" s="51" t="n">
        <x:f>DATE(YEAR(Config!$B$4),MONTH(Config!$B$4),C38)</x:f>
        <x:v>46295</x:v>
      </x:c>
      <x:c r="F38" s="52" t="str">
        <x:v>Não</x:v>
      </x:c>
      <x:c r="G38" s="53"/>
      <x:c r="H38" s="49" t="str">
        <x:f>IF(F38="Sim","Pago",IF(TODAY()&gt;E38,"Em atraso","Pendente"))</x:f>
        <x:v>Pendente</x:v>
      </x:c>
      <x:c r="I38" s="54" t="n">
        <x:f>IF(H38="Pago",IF(G38="",0,MAX(0,G38-E38)),MAX(0,TODAY()-E38))</x:f>
        <x:v>0</x:v>
      </x:c>
      <x:c r="J38" s="55" t="str">
        <x:f>IF(D38="","",IF(F38="Sim",0,D38))</x:f>
      </x:c>
      <x:c r="K38" s="63" t="str"/>
      <x:c r="L38" s="63" t="str"/>
    </x:row>
    <x:row r="39">
      <x:c r="A39" s="128" t="str">
        <x:v>PA-033</x:v>
      </x:c>
      <x:c r="B39" s="61" t="str">
        <x:v>Italo marbela</x:v>
      </x:c>
      <x:c r="C39" s="49" t="n">
        <x:v>30</x:v>
      </x:c>
      <x:c r="D39" s="39"/>
      <x:c r="E39" s="51" t="n">
        <x:f>DATE(YEAR(Config!$B$4),MONTH(Config!$B$4),C39)</x:f>
        <x:v>46295</x:v>
      </x:c>
      <x:c r="F39" s="52" t="str">
        <x:v>Não</x:v>
      </x:c>
      <x:c r="G39" s="53"/>
      <x:c r="H39" s="49" t="str">
        <x:f>IF(F39="Sim","Pago",IF(TODAY()&gt;E39,"Em atraso","Pendente"))</x:f>
        <x:v>Pendente</x:v>
      </x:c>
      <x:c r="I39" s="54" t="n">
        <x:f>IF(H39="Pago",IF(G39="",0,MAX(0,G39-E39)),MAX(0,TODAY()-E39))</x:f>
        <x:v>0</x:v>
      </x:c>
      <x:c r="J39" s="55" t="str">
        <x:f>IF(D39="","",IF(F39="Sim",0,D39))</x:f>
      </x:c>
      <x:c r="K39" s="63" t="str"/>
      <x:c r="L39" s="63" t="str"/>
    </x:row>
    <x:row r="40">
      <x:c r="A40" s="128" t="str">
        <x:v>PA-034</x:v>
      </x:c>
      <x:c r="B40" s="61" t="str">
        <x:v>Felipe</x:v>
      </x:c>
      <x:c r="C40" s="49" t="n">
        <x:v>30</x:v>
      </x:c>
      <x:c r="D40" s="39"/>
      <x:c r="E40" s="51" t="n">
        <x:f>DATE(YEAR(Config!$B$4),MONTH(Config!$B$4),C40)</x:f>
        <x:v>46295</x:v>
      </x:c>
      <x:c r="F40" s="52" t="str">
        <x:v>Não</x:v>
      </x:c>
      <x:c r="G40" s="53"/>
      <x:c r="H40" s="49" t="str">
        <x:f>IF(F40="Sim","Pago",IF(TODAY()&gt;E40,"Em atraso","Pendente"))</x:f>
        <x:v>Pendente</x:v>
      </x:c>
      <x:c r="I40" s="54" t="n">
        <x:f>IF(H40="Pago",IF(G40="",0,MAX(0,G40-E40)),MAX(0,TODAY()-E40))</x:f>
        <x:v>0</x:v>
      </x:c>
      <x:c r="J40" s="55" t="str">
        <x:f>IF(D40="","",IF(F40="Sim",0,D40))</x:f>
      </x:c>
      <x:c r="K40" s="63" t="str"/>
      <x:c r="L40" s="63" t="str"/>
    </x:row>
    <x:row r="41">
      <x:c r="A41" s="49" t="str">
        <x:v>PA-035</x:v>
      </x:c>
      <x:c r="B41" s="61" t="str">
        <x:v>Ayrton</x:v>
      </x:c>
      <x:c r="C41" s="49" t="n">
        <x:v>30</x:v>
      </x:c>
      <x:c r="D41" s="39"/>
      <x:c r="E41" s="51" t="n">
        <x:f>DATE(YEAR(Config!$B$4),MONTH(Config!$B$4),C41)</x:f>
        <x:v>46295</x:v>
      </x:c>
      <x:c r="F41" s="52" t="str">
        <x:v>Não</x:v>
      </x:c>
      <x:c r="G41" s="53"/>
      <x:c r="H41" s="49" t="str">
        <x:f>IF(F41="Sim","Pago",IF(TODAY()&gt;E41,"Em atraso","Pendente"))</x:f>
        <x:v>Pendente</x:v>
      </x:c>
      <x:c r="I41" s="54" t="n">
        <x:f>IF(H41="Pago",IF(G41="",0,MAX(0,G41-E41)),MAX(0,TODAY()-E41))</x:f>
        <x:v>0</x:v>
      </x:c>
      <x:c r="J41" s="55" t="str">
        <x:f>IF(D41="","",IF(F41="Sim",0,D41))</x:f>
      </x:c>
      <x:c r="K41" s="63" t="str"/>
      <x:c r="L41" s="63" t="str"/>
    </x:row>
    <x:row r="42">
      <x:c r="A42" s="49" t="str">
        <x:v>PA-036</x:v>
      </x:c>
      <x:c r="B42" s="61" t="str">
        <x:v>Fernando agazeh</x:v>
      </x:c>
      <x:c r="C42" s="49" t="n">
        <x:v>30</x:v>
      </x:c>
      <x:c r="D42" s="39"/>
      <x:c r="E42" s="51" t="n">
        <x:f>DATE(YEAR(Config!$B$4),MONTH(Config!$B$4),C42)</x:f>
        <x:v>46295</x:v>
      </x:c>
      <x:c r="F42" s="52" t="str">
        <x:v>Não</x:v>
      </x:c>
      <x:c r="G42" s="53"/>
      <x:c r="H42" s="49" t="str">
        <x:f>IF(F42="Sim","Pago",IF(TODAY()&gt;E42,"Em atraso","Pendente"))</x:f>
        <x:v>Pendente</x:v>
      </x:c>
      <x:c r="I42" s="54" t="n">
        <x:f>IF(H42="Pago",IF(G42="",0,MAX(0,G42-E42)),MAX(0,TODAY()-E42))</x:f>
        <x:v>0</x:v>
      </x:c>
      <x:c r="J42" s="55" t="str">
        <x:f>IF(D42="","",IF(F42="Sim",0,D42))</x:f>
      </x:c>
      <x:c r="K42" s="63" t="str"/>
      <x:c r="L42" s="63" t="str"/>
    </x:row>
    <x:row r="43">
      <x:c r="A43" s="49" t="str">
        <x:v>PA-037</x:v>
      </x:c>
      <x:c r="B43" s="61" t="str">
        <x:v>Wany</x:v>
      </x:c>
      <x:c r="C43" s="49" t="n">
        <x:v>30</x:v>
      </x:c>
      <x:c r="D43" s="39"/>
      <x:c r="E43" s="51" t="n">
        <x:f>DATE(YEAR(Config!$B$4),MONTH(Config!$B$4),C43)</x:f>
        <x:v>46295</x:v>
      </x:c>
      <x:c r="F43" s="52" t="str">
        <x:v>Não</x:v>
      </x:c>
      <x:c r="G43" s="53"/>
      <x:c r="H43" s="49" t="str">
        <x:f>IF(F43="Sim","Pago",IF(TODAY()&gt;E43,"Em atraso","Pendente"))</x:f>
        <x:v>Pendente</x:v>
      </x:c>
      <x:c r="I43" s="54" t="n">
        <x:f>IF(H43="Pago",IF(G43="",0,MAX(0,G43-E43)),MAX(0,TODAY()-E43))</x:f>
        <x:v>0</x:v>
      </x:c>
      <x:c r="J43" s="55" t="str">
        <x:f>IF(D43="","",IF(F43="Sim",0,D43))</x:f>
      </x:c>
      <x:c r="K43" s="63" t="str"/>
      <x:c r="L43" s="63" t="str"/>
    </x:row>
    <x:row r="44">
      <x:c r="A44" s="49" t="str">
        <x:v>PA-038</x:v>
      </x:c>
      <x:c r="B44" s="61" t="str">
        <x:v>Fabricio</x:v>
      </x:c>
      <x:c r="C44" s="49" t="n">
        <x:v>30</x:v>
      </x:c>
      <x:c r="D44" s="39"/>
      <x:c r="E44" s="51" t="n">
        <x:f>DATE(YEAR(Config!$B$4),MONTH(Config!$B$4),C44)</x:f>
        <x:v>46295</x:v>
      </x:c>
      <x:c r="F44" s="52" t="str">
        <x:v>Não</x:v>
      </x:c>
      <x:c r="G44" s="53"/>
      <x:c r="H44" s="49" t="str">
        <x:f>IF(F44="Sim","Pago",IF(TODAY()&gt;E44,"Em atraso","Pendente"))</x:f>
        <x:v>Pendente</x:v>
      </x:c>
      <x:c r="I44" s="54" t="n">
        <x:f>IF(H44="Pago",IF(G44="",0,MAX(0,G44-E44)),MAX(0,TODAY()-E44))</x:f>
        <x:v>0</x:v>
      </x:c>
      <x:c r="J44" s="55" t="str">
        <x:f>IF(D44="","",IF(F44="Sim",0,D44))</x:f>
      </x:c>
      <x:c r="K44" s="63" t="str"/>
      <x:c r="L44" s="63" t="str"/>
    </x:row>
    <x:row r="45">
      <x:c r="A45" s="49" t="str">
        <x:v>PA-039</x:v>
      </x:c>
      <x:c r="B45" s="61" t="str">
        <x:v>Erika</x:v>
      </x:c>
      <x:c r="C45" s="49" t="n">
        <x:v>30</x:v>
      </x:c>
      <x:c r="D45" s="39"/>
      <x:c r="E45" s="51" t="n">
        <x:f>DATE(YEAR(Config!$B$4),MONTH(Config!$B$4),C45)</x:f>
        <x:v>46295</x:v>
      </x:c>
      <x:c r="F45" s="52" t="str">
        <x:v>Não</x:v>
      </x:c>
      <x:c r="G45" s="53"/>
      <x:c r="H45" s="49" t="str">
        <x:f>IF(F45="Sim","Pago",IF(TODAY()&gt;E45,"Em atraso","Pendente"))</x:f>
        <x:v>Pendente</x:v>
      </x:c>
      <x:c r="I45" s="54" t="n">
        <x:f>IF(H45="Pago",IF(G45="",0,MAX(0,G45-E45)),MAX(0,TODAY()-E45))</x:f>
        <x:v>0</x:v>
      </x:c>
      <x:c r="J45" s="55" t="str">
        <x:f>IF(D45="","",IF(F45="Sim",0,D45))</x:f>
      </x:c>
      <x:c r="K45" s="63" t="str"/>
      <x:c r="L45" s="63" t="str"/>
    </x:row>
  </x:sheetData>
  <x:mergeCells>
    <x:mergeCell ref="A1:L1"/>
    <x:mergeCell ref="A2:L2"/>
  </x:mergeCells>
  <x:conditionalFormatting sqref="H7:H45">
    <x:cfRule type="expression" dxfId="0" priority="1">
      <x:formula>H7="Pago"</x:formula>
    </x:cfRule>
    <x:cfRule type="expression" dxfId="1" priority="2">
      <x:formula>H7="Em atraso"</x:formula>
    </x:cfRule>
    <x:cfRule type="expression" dxfId="2" priority="3">
      <x:formula>H7="Pendente"</x:formula>
    </x:cfRule>
  </x:conditionalFormatting>
  <x:conditionalFormatting sqref="I7:I45">
    <x:cfRule type="dataBar" priority="4">
      <x:dataBar>
        <x:cfvo type="min"/>
        <x:cfvo type="max"/>
        <x:color rgb="FF6B8E23"/>
      </x:dataBar>
      <x:extLst>
        <x:ext xmlns:x14="http://schemas.microsoft.com/office/spreadsheetml/2009/9/main" uri="{B025F937-C7B1-47D3-B67F-A62EFF666E3E}">
          <x14:id>{F610B17A-0C74-911B-F772-ABAA939EC7CD}</x14:id>
        </x:ext>
      </x:extLst>
    </x:cfRule>
  </x:conditionalFormatting>
  <x:conditionalFormatting sqref="J7:J45">
    <x:cfRule type="colorScale" priority="5">
      <x:colorScale>
        <x:cfvo type="min"/>
        <x:cfvo type="percentile" val="50"/>
        <x:cfvo type="max"/>
        <x:color rgb="FFE8F5E9"/>
        <x:color rgb="FFFFF4CC"/>
        <x:color rgb="FFFDE2E2"/>
      </x:colorScale>
    </x:cfRule>
  </x:conditionalFormatting>
  <x:dataValidations count="2">
    <x:dataValidation type="list" sqref="F7:F45">
      <x:formula1>Config!$B$5:$B$6</x:formula1>
    </x:dataValidation>
    <x:dataValidation type="list" sqref="L7:L45">
      <x:formula1>Config!$B$7:$B$8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77987fd71b4f7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F610B17A-0C74-911B-F772-ABAA939EC7CD}">
            <x14:dataBar gradient="1">
              <x14:cfvo type="min"/>
              <x14:cfvo type="max"/>
              <x14:fillColor rgb="FF6B8E23"/>
            </x14:dataBar>
          </x14:cfRule>
          <xm:sqref>I7:I45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CONFIGURAÇÃO E APOIO</x:v>
      </x:c>
    </x:row>
    <x:row r="2">
      <x:c r="A2" s="117"/>
    </x:row>
    <x:row r="3">
      <x:c r="A3" s="119" t="str">
        <x:v>Campo</x:v>
      </x:c>
      <x:c r="B3" s="12" t="str">
        <x:v>Valor</x:v>
      </x:c>
      <x:c r="D3" s="19" t="str">
        <x:v>COMO USAR</x:v>
      </x:c>
      <x:c r="E3" t="str"/>
      <x:c r="F3" t="str"/>
    </x:row>
    <x:row r="4">
      <x:c r="A4" s="117" t="str">
        <x:v>Mês de referência</x:v>
      </x:c>
      <x:c r="B4" s="16" t="n">
        <x:v>46266</x:v>
      </x:c>
      <x:c r="D4" s="22" t="str">
        <x:v>1</x:v>
      </x:c>
      <x:c r="E4" s="22" t="str">
        <x:v>Preencha o valor mensal de cada piscina na coluna Valor piscina.</x:v>
      </x:c>
      <x:c r="F4" t="str"/>
    </x:row>
    <x:row r="5">
      <x:c r="A5" s="117" t="str">
        <x:v>Recebido?</x:v>
      </x:c>
      <x:c r="B5" s="24" t="str">
        <x:v>Sim</x:v>
      </x:c>
      <x:c r="D5" s="22" t="str">
        <x:v>2</x:v>
      </x:c>
      <x:c r="E5" s="22" t="str">
        <x:v>Use Recebido? para marcar Sim ou Não.</x:v>
      </x:c>
      <x:c r="F5" t="str"/>
    </x:row>
    <x:row r="6">
      <x:c r="A6" s="117" t="str"/>
      <x:c r="B6" s="24" t="str">
        <x:v>Não</x:v>
      </x:c>
      <x:c r="D6" s="22" t="str">
        <x:v>3</x:v>
      </x:c>
      <x:c r="E6" s="22" t="str">
        <x:v>Informe a Data pagamento quando o cliente pagar.</x:v>
      </x:c>
      <x:c r="F6" t="str"/>
    </x:row>
    <x:row r="7">
      <x:c r="A7" s="117" t="str">
        <x:v>Tipo de cliente</x:v>
      </x:c>
      <x:c r="B7" s="24" t="str">
        <x:v>Residencial</x:v>
      </x:c>
      <x:c r="D7" s="22" t="str">
        <x:v>4</x:v>
      </x:c>
      <x:c r="E7" s="22" t="str">
        <x:v>O vencimento, status, atraso e valor em aberto são automáticos.</x:v>
      </x:c>
      <x:c r="F7" t="str"/>
    </x:row>
    <x:row r="8">
      <x:c r="A8" s="117" t="str"/>
      <x:c r="B8" s="24" t="str">
        <x:v>Condomínio</x:v>
      </x:c>
      <x:c r="D8" s="22" t="str">
        <x:v>5</x:v>
      </x:c>
      <x:c r="E8" s="22" t="str">
        <x:v>Troque o Mês de referência para acompanhar outro mês.</x:v>
      </x:c>
      <x:c r="F8" t="str"/>
    </x:row>
    <x:row r="9">
      <x:c r="A9" s="117"/>
      <x:c r="D9" s="22" t="str">
        <x:v>6</x:v>
      </x:c>
      <x:c r="E9" s="22" t="str">
        <x:v>O Dashboard atualiza os indicadores automaticamente.</x:v>
      </x:c>
      <x:c r="F9" t="str"/>
    </x:row>
    <x:row r="10">
      <x:c r="A10" s="117"/>
    </x:row>
    <x:row r="11">
      <x:c r="A11" s="117"/>
    </x:row>
    <x:row r="12">
      <x:c r="A12" s="117"/>
    </x:row>
    <x:row r="13">
      <x:c r="A13" s="117"/>
    </x:row>
    <x:row r="14">
      <x:c r="A14" s="117"/>
    </x:row>
    <x:row r="15">
      <x:c r="A15" s="117"/>
    </x:row>
    <x:row r="16">
      <x:c r="A16" s="117"/>
    </x:row>
    <x:row r="17">
      <x:c r="A17" s="117"/>
    </x:row>
    <x:row r="18">
      <x:c r="A18" s="117"/>
    </x:row>
    <x:row r="19">
      <x:c r="A19" s="117"/>
    </x:row>
    <x:row r="20">
      <x:c r="A20" s="117"/>
    </x:row>
    <x:row r="21">
      <x:c r="A21" s="117"/>
    </x:row>
    <x:row r="22">
      <x:c r="A22" s="117"/>
    </x:row>
    <x:row r="23">
      <x:c r="A23" s="117"/>
    </x:row>
    <x:row r="24">
      <x:c r="A24" s="117"/>
    </x:row>
    <x:row r="25">
      <x:c r="A25" s="117"/>
    </x:row>
    <x:row r="26">
      <x:c r="A26" s="117"/>
    </x:row>
    <x:row r="27">
      <x:c r="A27" s="117"/>
    </x:row>
    <x:row r="28">
      <x:c r="A28" s="117"/>
    </x:row>
    <x:row r="29">
      <x:c r="A29" s="117"/>
    </x:row>
    <x:row r="30">
      <x:c r="A30" s="117"/>
    </x:row>
    <x:row r="31">
      <x:c r="A31" s="117"/>
    </x:row>
    <x:row r="32">
      <x:c r="A32" s="117"/>
    </x:row>
    <x:row r="33">
      <x:c r="A33" s="117"/>
    </x:row>
    <x:row r="34">
      <x:c r="A34" s="117"/>
    </x:row>
    <x:row r="35">
      <x:c r="A35" s="117"/>
    </x:row>
    <x:row r="36">
      <x:c r="A36" s="117"/>
    </x:row>
    <x:row r="37">
      <x:c r="A37" s="117"/>
    </x:row>
    <x:row r="38">
      <x:c r="A38" s="117"/>
    </x:row>
    <x:row r="39">
      <x:c r="A39" s="117"/>
    </x:row>
    <x:row r="40">
      <x:c r="A40" s="117"/>
    </x:row>
  </x:sheetData>
  <x:mergeCells>
    <x:mergeCell ref="A1:F1"/>
    <x:mergeCell ref="D3:F3"/>
  </x:mergeCells>
  <x:pageMargins left="0.7" right="0.7" top="0.75" bottom="0.75" header="0.3" footer="0.3"/>
</x:worksheet>
</file>